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23ebcc3411b0d208/Documents/"/>
    </mc:Choice>
  </mc:AlternateContent>
  <xr:revisionPtr revIDLastSave="289" documentId="8_{A92550EA-314E-41B9-9546-2F6159D22D2C}" xr6:coauthVersionLast="47" xr6:coauthVersionMax="47" xr10:uidLastSave="{BF9779BB-9A55-4C02-819C-CE47C77A6A7E}"/>
  <bookViews>
    <workbookView xWindow="-120" yWindow="-120" windowWidth="20730" windowHeight="11040" xr2:uid="{3576B36A-4075-4D89-9DEA-E077B75A30CC}"/>
  </bookViews>
  <sheets>
    <sheet name="Loan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13" i="1" l="1"/>
  <c r="I14" i="1" s="1"/>
  <c r="I12" i="1"/>
  <c r="H33" i="1"/>
  <c r="I28" i="1"/>
  <c r="I29" i="1"/>
  <c r="I30" i="1"/>
  <c r="I31" i="1"/>
  <c r="I32" i="1"/>
  <c r="I27" i="1"/>
  <c r="D8" i="1"/>
  <c r="D7" i="1"/>
  <c r="C8" i="1"/>
  <c r="C9" i="1" s="1"/>
  <c r="C10" i="1" s="1"/>
  <c r="C11" i="1" s="1"/>
  <c r="B9" i="1"/>
  <c r="D9" i="1" s="1"/>
  <c r="H32" i="1"/>
  <c r="C7" i="1"/>
  <c r="C6" i="1"/>
  <c r="I17" i="1"/>
  <c r="I19" i="1"/>
  <c r="I18" i="1"/>
  <c r="I20" i="1" s="1"/>
  <c r="I4" i="1"/>
  <c r="I7" i="1" s="1"/>
  <c r="I9" i="1" s="1"/>
  <c r="I6" i="1"/>
  <c r="I5" i="1"/>
  <c r="B3" i="1"/>
  <c r="I33" i="1" l="1"/>
  <c r="D10" i="1"/>
  <c r="I22" i="1"/>
  <c r="I23" i="1" s="1"/>
  <c r="I24" i="1" s="1"/>
  <c r="H34" i="1" l="1"/>
  <c r="I34" i="1" s="1"/>
  <c r="E3" i="1"/>
  <c r="D11" i="1"/>
  <c r="C12" i="1"/>
  <c r="C13" i="1" l="1"/>
  <c r="D12" i="1"/>
  <c r="C14" i="1" l="1"/>
  <c r="D13" i="1"/>
  <c r="D14" i="1" l="1"/>
  <c r="C15" i="1"/>
  <c r="C16" i="1" s="1"/>
  <c r="D15" i="1" l="1"/>
  <c r="D16" i="1"/>
</calcChain>
</file>

<file path=xl/sharedStrings.xml><?xml version="1.0" encoding="utf-8"?>
<sst xmlns="http://schemas.openxmlformats.org/spreadsheetml/2006/main" count="43" uniqueCount="39">
  <si>
    <t>Total Balance</t>
  </si>
  <si>
    <t>Estimated Average Rate</t>
  </si>
  <si>
    <t xml:space="preserve">Year </t>
  </si>
  <si>
    <t>Monthly Payment</t>
  </si>
  <si>
    <t>Balance</t>
  </si>
  <si>
    <t>Base Salary</t>
  </si>
  <si>
    <t>Estimated Growth Rate</t>
  </si>
  <si>
    <t>Taxes</t>
  </si>
  <si>
    <t>Deduction</t>
  </si>
  <si>
    <t>Federal Taxes:</t>
  </si>
  <si>
    <t>0 - 12400</t>
  </si>
  <si>
    <t>12401 - 50400</t>
  </si>
  <si>
    <t>50401 - 105700</t>
  </si>
  <si>
    <t>104701 - 201775</t>
  </si>
  <si>
    <t>State</t>
  </si>
  <si>
    <t>Taxable Income</t>
  </si>
  <si>
    <t>Total Taxes</t>
  </si>
  <si>
    <t>Federal Subtotal</t>
  </si>
  <si>
    <t>Income Tax</t>
  </si>
  <si>
    <t>FICA</t>
  </si>
  <si>
    <t>Social Security</t>
  </si>
  <si>
    <t>Medicare</t>
  </si>
  <si>
    <t>State Subtotal</t>
  </si>
  <si>
    <t>FICA Subtotal</t>
  </si>
  <si>
    <t>Total Takehome Pay</t>
  </si>
  <si>
    <t>Monthly Takehome</t>
  </si>
  <si>
    <t>Monthly Pay</t>
  </si>
  <si>
    <t>rent</t>
  </si>
  <si>
    <t>groceries</t>
  </si>
  <si>
    <t>Debt</t>
  </si>
  <si>
    <t>Personal</t>
  </si>
  <si>
    <t>Retirement</t>
  </si>
  <si>
    <t>Saving</t>
  </si>
  <si>
    <t>Spending Category</t>
  </si>
  <si>
    <t>Monthly Cost</t>
  </si>
  <si>
    <t>Yearly</t>
  </si>
  <si>
    <t>Total</t>
  </si>
  <si>
    <t>Total Leftover</t>
  </si>
  <si>
    <t>Annual Payment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</si>
</sst>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(&quot;$&quot;* #,##0.00_);_(&quot;$&quot;* \(#,##0.00\);_(&quot;$&quot;* &quot;-&quot;??_);_(@_)"/>
  </numFmts>
  <fonts count="5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u/>
      <sz val="11"/>
      <color theme="1"/>
      <name val="Aptos Narrow"/>
      <family val="2"/>
      <scheme val="minor"/>
    </font>
    <font>
      <b/>
      <sz val="14"/>
      <color theme="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6" tint="0.79998168889431442"/>
        <bgColor indexed="64"/>
      </patternFill>
    </fill>
  </fills>
  <borders count="30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58">
    <xf numFmtId="0" fontId="0" fillId="0" borderId="0" xfId="0"/>
    <xf numFmtId="44" fontId="0" fillId="0" borderId="0" xfId="0" applyNumberFormat="1"/>
    <xf numFmtId="0" fontId="0" fillId="0" borderId="0" xfId="0" applyBorder="1"/>
    <xf numFmtId="0" fontId="0" fillId="0" borderId="5" xfId="0" applyBorder="1"/>
    <xf numFmtId="0" fontId="0" fillId="0" borderId="4" xfId="0" applyBorder="1"/>
    <xf numFmtId="44" fontId="0" fillId="0" borderId="5" xfId="1" applyFont="1" applyBorder="1"/>
    <xf numFmtId="0" fontId="0" fillId="0" borderId="6" xfId="0" applyBorder="1"/>
    <xf numFmtId="0" fontId="0" fillId="0" borderId="7" xfId="0" applyBorder="1"/>
    <xf numFmtId="44" fontId="0" fillId="0" borderId="8" xfId="0" applyNumberFormat="1" applyBorder="1"/>
    <xf numFmtId="0" fontId="0" fillId="0" borderId="10" xfId="0" applyBorder="1"/>
    <xf numFmtId="0" fontId="0" fillId="0" borderId="11" xfId="0" applyBorder="1"/>
    <xf numFmtId="0" fontId="0" fillId="0" borderId="13" xfId="0" applyBorder="1"/>
    <xf numFmtId="0" fontId="0" fillId="0" borderId="15" xfId="0" applyBorder="1"/>
    <xf numFmtId="0" fontId="2" fillId="0" borderId="14" xfId="0" applyFont="1" applyBorder="1"/>
    <xf numFmtId="0" fontId="3" fillId="0" borderId="14" xfId="0" applyFont="1" applyBorder="1"/>
    <xf numFmtId="0" fontId="3" fillId="0" borderId="9" xfId="0" applyFont="1" applyBorder="1"/>
    <xf numFmtId="0" fontId="4" fillId="2" borderId="1" xfId="0" applyFont="1" applyFill="1" applyBorder="1" applyAlignment="1">
      <alignment horizontal="center"/>
    </xf>
    <xf numFmtId="0" fontId="4" fillId="2" borderId="2" xfId="0" applyFont="1" applyFill="1" applyBorder="1" applyAlignment="1">
      <alignment horizontal="center"/>
    </xf>
    <xf numFmtId="0" fontId="4" fillId="2" borderId="3" xfId="0" applyFont="1" applyFill="1" applyBorder="1" applyAlignment="1">
      <alignment horizontal="center"/>
    </xf>
    <xf numFmtId="9" fontId="0" fillId="0" borderId="0" xfId="2" applyFont="1" applyBorder="1"/>
    <xf numFmtId="0" fontId="2" fillId="0" borderId="4" xfId="0" applyFont="1" applyBorder="1"/>
    <xf numFmtId="0" fontId="2" fillId="0" borderId="6" xfId="0" applyFont="1" applyBorder="1"/>
    <xf numFmtId="0" fontId="0" fillId="0" borderId="12" xfId="0" applyBorder="1"/>
    <xf numFmtId="0" fontId="2" fillId="0" borderId="16" xfId="0" applyFont="1" applyBorder="1"/>
    <xf numFmtId="0" fontId="0" fillId="0" borderId="17" xfId="0" applyBorder="1"/>
    <xf numFmtId="44" fontId="2" fillId="0" borderId="18" xfId="0" applyNumberFormat="1" applyFont="1" applyBorder="1"/>
    <xf numFmtId="0" fontId="2" fillId="0" borderId="19" xfId="0" applyFont="1" applyBorder="1"/>
    <xf numFmtId="44" fontId="2" fillId="0" borderId="20" xfId="0" applyNumberFormat="1" applyFont="1" applyBorder="1"/>
    <xf numFmtId="0" fontId="0" fillId="3" borderId="24" xfId="0" applyFill="1" applyBorder="1"/>
    <xf numFmtId="9" fontId="0" fillId="3" borderId="25" xfId="2" applyFont="1" applyFill="1" applyBorder="1"/>
    <xf numFmtId="0" fontId="0" fillId="3" borderId="26" xfId="0" applyFill="1" applyBorder="1"/>
    <xf numFmtId="0" fontId="0" fillId="3" borderId="25" xfId="0" applyFill="1" applyBorder="1"/>
    <xf numFmtId="44" fontId="0" fillId="3" borderId="26" xfId="1" applyFont="1" applyFill="1" applyBorder="1"/>
    <xf numFmtId="0" fontId="2" fillId="4" borderId="21" xfId="0" applyFont="1" applyFill="1" applyBorder="1"/>
    <xf numFmtId="0" fontId="0" fillId="4" borderId="22" xfId="0" applyFill="1" applyBorder="1"/>
    <xf numFmtId="44" fontId="2" fillId="4" borderId="23" xfId="0" applyNumberFormat="1" applyFont="1" applyFill="1" applyBorder="1"/>
    <xf numFmtId="9" fontId="0" fillId="0" borderId="0" xfId="2" applyFont="1"/>
    <xf numFmtId="10" fontId="0" fillId="0" borderId="0" xfId="2" applyNumberFormat="1" applyFont="1"/>
    <xf numFmtId="0" fontId="2" fillId="3" borderId="1" xfId="0" applyFont="1" applyFill="1" applyBorder="1"/>
    <xf numFmtId="0" fontId="2" fillId="3" borderId="2" xfId="0" applyFont="1" applyFill="1" applyBorder="1"/>
    <xf numFmtId="0" fontId="2" fillId="3" borderId="3" xfId="0" applyFont="1" applyFill="1" applyBorder="1"/>
    <xf numFmtId="44" fontId="0" fillId="0" borderId="6" xfId="1" applyFont="1" applyBorder="1"/>
    <xf numFmtId="9" fontId="0" fillId="0" borderId="7" xfId="0" applyNumberFormat="1" applyBorder="1"/>
    <xf numFmtId="44" fontId="0" fillId="0" borderId="0" xfId="0" applyNumberFormat="1" applyBorder="1"/>
    <xf numFmtId="44" fontId="0" fillId="0" borderId="7" xfId="0" applyNumberFormat="1" applyBorder="1"/>
    <xf numFmtId="0" fontId="0" fillId="0" borderId="8" xfId="0" applyBorder="1"/>
    <xf numFmtId="0" fontId="0" fillId="3" borderId="27" xfId="0" applyFill="1" applyBorder="1"/>
    <xf numFmtId="0" fontId="0" fillId="3" borderId="28" xfId="0" applyFill="1" applyBorder="1"/>
    <xf numFmtId="0" fontId="0" fillId="3" borderId="29" xfId="0" applyFill="1" applyBorder="1"/>
    <xf numFmtId="0" fontId="2" fillId="0" borderId="0" xfId="0" applyFont="1" applyBorder="1"/>
    <xf numFmtId="0" fontId="2" fillId="0" borderId="5" xfId="0" applyFont="1" applyBorder="1"/>
    <xf numFmtId="44" fontId="2" fillId="0" borderId="7" xfId="0" applyNumberFormat="1" applyFont="1" applyBorder="1"/>
    <xf numFmtId="0" fontId="2" fillId="0" borderId="8" xfId="0" applyFont="1" applyBorder="1"/>
    <xf numFmtId="0" fontId="2" fillId="3" borderId="27" xfId="0" applyFont="1" applyFill="1" applyBorder="1"/>
    <xf numFmtId="0" fontId="2" fillId="3" borderId="28" xfId="0" applyFont="1" applyFill="1" applyBorder="1"/>
    <xf numFmtId="0" fontId="2" fillId="3" borderId="29" xfId="0" applyFont="1" applyFill="1" applyBorder="1"/>
    <xf numFmtId="0" fontId="2" fillId="3" borderId="24" xfId="0" applyFont="1" applyFill="1" applyBorder="1"/>
    <xf numFmtId="0" fontId="2" fillId="3" borderId="26" xfId="0" applyFont="1" applyFill="1" applyBorder="1"/>
  </cellXfs>
  <cellStyles count="3">
    <cellStyle name="Currency" xfId="1" builtinId="4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462D89-EF36-4143-8300-66C0865A05DC}">
  <dimension ref="A1:I35"/>
  <sheetViews>
    <sheetView tabSelected="1" zoomScale="72" workbookViewId="0">
      <selection activeCell="I14" sqref="I14"/>
    </sheetView>
  </sheetViews>
  <sheetFormatPr defaultRowHeight="15" x14ac:dyDescent="0.25"/>
  <cols>
    <col min="1" max="1" width="17.7109375" customWidth="1"/>
    <col min="2" max="2" width="31.5703125" customWidth="1"/>
    <col min="3" max="3" width="17.7109375" customWidth="1"/>
    <col min="4" max="4" width="24.85546875" customWidth="1"/>
    <col min="5" max="5" width="24.42578125" customWidth="1"/>
    <col min="7" max="7" width="26.5703125" customWidth="1"/>
    <col min="8" max="8" width="15.7109375" customWidth="1"/>
    <col min="9" max="9" width="22.42578125" customWidth="1"/>
  </cols>
  <sheetData>
    <row r="1" spans="1:9" ht="15.75" thickBot="1" x14ac:dyDescent="0.3"/>
    <row r="2" spans="1:9" ht="18.75" x14ac:dyDescent="0.3">
      <c r="A2" s="38" t="s">
        <v>0</v>
      </c>
      <c r="B2" s="39" t="s">
        <v>1</v>
      </c>
      <c r="C2" s="39" t="s">
        <v>5</v>
      </c>
      <c r="D2" s="39" t="s">
        <v>6</v>
      </c>
      <c r="E2" s="40" t="s">
        <v>26</v>
      </c>
      <c r="G2" s="16" t="s">
        <v>7</v>
      </c>
      <c r="H2" s="17"/>
      <c r="I2" s="18"/>
    </row>
    <row r="3" spans="1:9" ht="15.75" thickBot="1" x14ac:dyDescent="0.3">
      <c r="A3" s="41">
        <v>72964</v>
      </c>
      <c r="B3" s="7">
        <f>(0.035+0.09+0.1+0.045)/4</f>
        <v>6.7500000000000004E-2</v>
      </c>
      <c r="C3" s="7">
        <v>88000</v>
      </c>
      <c r="D3" s="42">
        <v>0.04</v>
      </c>
      <c r="E3" s="8">
        <f>I24</f>
        <v>5644.6554166666656</v>
      </c>
      <c r="G3" s="15" t="s">
        <v>9</v>
      </c>
      <c r="H3" s="9"/>
      <c r="I3" s="10" t="s">
        <v>15</v>
      </c>
    </row>
    <row r="4" spans="1:9" ht="15.75" thickBot="1" x14ac:dyDescent="0.3">
      <c r="G4" s="4" t="s">
        <v>8</v>
      </c>
      <c r="H4" s="2">
        <v>16100</v>
      </c>
      <c r="I4" s="5">
        <f>C3-H4</f>
        <v>71900</v>
      </c>
    </row>
    <row r="5" spans="1:9" x14ac:dyDescent="0.25">
      <c r="A5" s="46" t="s">
        <v>2</v>
      </c>
      <c r="B5" s="47" t="s">
        <v>3</v>
      </c>
      <c r="C5" s="47" t="s">
        <v>4</v>
      </c>
      <c r="D5" s="48" t="s">
        <v>38</v>
      </c>
      <c r="G5" s="4" t="s">
        <v>10</v>
      </c>
      <c r="H5" s="19">
        <v>0.1</v>
      </c>
      <c r="I5" s="5">
        <f>12400*H5</f>
        <v>1240</v>
      </c>
    </row>
    <row r="6" spans="1:9" x14ac:dyDescent="0.25">
      <c r="A6" s="4">
        <v>0</v>
      </c>
      <c r="B6" s="43">
        <v>0</v>
      </c>
      <c r="C6" s="43">
        <f>A3</f>
        <v>72964</v>
      </c>
      <c r="D6" s="3"/>
      <c r="G6" s="4" t="s">
        <v>11</v>
      </c>
      <c r="H6" s="19">
        <v>0.12</v>
      </c>
      <c r="I6" s="5">
        <f>(50400-12401)*H6</f>
        <v>4559.88</v>
      </c>
    </row>
    <row r="7" spans="1:9" x14ac:dyDescent="0.25">
      <c r="A7" s="4">
        <v>1</v>
      </c>
      <c r="B7" s="2">
        <v>1250</v>
      </c>
      <c r="C7" s="43">
        <f>(C6-(B6*12))*(1+$B$3)</f>
        <v>77889.069999999992</v>
      </c>
      <c r="D7" s="3">
        <f>B7*12</f>
        <v>15000</v>
      </c>
      <c r="G7" s="4" t="s">
        <v>12</v>
      </c>
      <c r="H7" s="19">
        <v>0.22</v>
      </c>
      <c r="I7" s="5">
        <f>(I4-50401)*H7</f>
        <v>4729.78</v>
      </c>
    </row>
    <row r="8" spans="1:9" x14ac:dyDescent="0.25">
      <c r="A8" s="4">
        <v>2</v>
      </c>
      <c r="B8" s="2">
        <v>1250</v>
      </c>
      <c r="C8" s="43">
        <f t="shared" ref="C8:C16" si="0">(C7-(B7*12))*(1+$B$3)</f>
        <v>67134.082224999991</v>
      </c>
      <c r="D8" s="3">
        <f t="shared" ref="D8:D16" si="1">B8*12</f>
        <v>15000</v>
      </c>
      <c r="G8" s="4" t="s">
        <v>13</v>
      </c>
      <c r="H8" s="19">
        <v>0.25</v>
      </c>
      <c r="I8" s="5">
        <v>0</v>
      </c>
    </row>
    <row r="9" spans="1:9" ht="15.75" thickBot="1" x14ac:dyDescent="0.3">
      <c r="A9" s="4">
        <v>3</v>
      </c>
      <c r="B9" s="2">
        <f t="shared" ref="B9:B16" si="2">B8*1.2</f>
        <v>1500</v>
      </c>
      <c r="C9" s="43">
        <f t="shared" si="0"/>
        <v>55653.132775187485</v>
      </c>
      <c r="D9" s="3">
        <f t="shared" si="1"/>
        <v>18000</v>
      </c>
      <c r="G9" s="28" t="s">
        <v>17</v>
      </c>
      <c r="H9" s="31"/>
      <c r="I9" s="32">
        <f>SUM(I5:I8)</f>
        <v>10529.66</v>
      </c>
    </row>
    <row r="10" spans="1:9" x14ac:dyDescent="0.25">
      <c r="A10" s="4">
        <v>4</v>
      </c>
      <c r="B10" s="2">
        <v>1500</v>
      </c>
      <c r="C10" s="43">
        <f t="shared" si="0"/>
        <v>40194.71923751264</v>
      </c>
      <c r="D10" s="3">
        <f t="shared" si="1"/>
        <v>18000</v>
      </c>
      <c r="G10" s="4"/>
      <c r="H10" s="2"/>
      <c r="I10" s="3"/>
    </row>
    <row r="11" spans="1:9" x14ac:dyDescent="0.25">
      <c r="A11" s="4">
        <v>5</v>
      </c>
      <c r="B11" s="2">
        <v>1500</v>
      </c>
      <c r="C11" s="43">
        <f t="shared" si="0"/>
        <v>23692.862786044741</v>
      </c>
      <c r="D11" s="3">
        <f t="shared" si="1"/>
        <v>18000</v>
      </c>
      <c r="G11" s="14" t="s">
        <v>14</v>
      </c>
      <c r="H11" s="11"/>
      <c r="I11" s="12" t="s">
        <v>15</v>
      </c>
    </row>
    <row r="12" spans="1:9" x14ac:dyDescent="0.25">
      <c r="A12" s="4">
        <v>6</v>
      </c>
      <c r="B12" s="2">
        <v>1500</v>
      </c>
      <c r="C12" s="43">
        <f t="shared" si="0"/>
        <v>6077.1310241027604</v>
      </c>
      <c r="D12" s="3">
        <f t="shared" si="1"/>
        <v>18000</v>
      </c>
      <c r="G12" s="4" t="s">
        <v>8</v>
      </c>
      <c r="H12" s="2">
        <v>12750</v>
      </c>
      <c r="I12" s="3">
        <f>C3-H12</f>
        <v>75250</v>
      </c>
    </row>
    <row r="13" spans="1:9" x14ac:dyDescent="0.25">
      <c r="A13" s="4">
        <v>7</v>
      </c>
      <c r="B13" s="2">
        <v>1500</v>
      </c>
      <c r="C13" s="43">
        <f t="shared" si="0"/>
        <v>-12727.662631770301</v>
      </c>
      <c r="D13" s="3">
        <f t="shared" si="1"/>
        <v>18000</v>
      </c>
      <c r="G13" s="4" t="s">
        <v>18</v>
      </c>
      <c r="H13" s="36">
        <v>3.9899999999999998E-2</v>
      </c>
      <c r="I13" s="3">
        <f>H13*I12</f>
        <v>3002.4749999999999</v>
      </c>
    </row>
    <row r="14" spans="1:9" ht="15.75" thickBot="1" x14ac:dyDescent="0.3">
      <c r="A14" s="4">
        <v>8</v>
      </c>
      <c r="B14" s="2">
        <v>1500</v>
      </c>
      <c r="C14" s="43">
        <f t="shared" si="0"/>
        <v>-32801.77985941479</v>
      </c>
      <c r="D14" s="3">
        <f t="shared" si="1"/>
        <v>18000</v>
      </c>
      <c r="G14" s="56" t="s">
        <v>22</v>
      </c>
      <c r="H14" s="29"/>
      <c r="I14" s="57">
        <f>I13</f>
        <v>3002.4749999999999</v>
      </c>
    </row>
    <row r="15" spans="1:9" x14ac:dyDescent="0.25">
      <c r="A15" s="4">
        <v>9</v>
      </c>
      <c r="B15" s="2">
        <v>1500</v>
      </c>
      <c r="C15" s="43">
        <f t="shared" si="0"/>
        <v>-54230.899999925285</v>
      </c>
      <c r="D15" s="3">
        <f t="shared" si="1"/>
        <v>18000</v>
      </c>
      <c r="G15" s="4"/>
      <c r="H15" s="2"/>
      <c r="I15" s="3"/>
    </row>
    <row r="16" spans="1:9" ht="15.75" thickBot="1" x14ac:dyDescent="0.3">
      <c r="A16" s="6">
        <v>10</v>
      </c>
      <c r="B16" s="7">
        <v>1500</v>
      </c>
      <c r="C16" s="44">
        <f t="shared" si="0"/>
        <v>-77106.485749920234</v>
      </c>
      <c r="D16" s="45">
        <f t="shared" si="1"/>
        <v>18000</v>
      </c>
      <c r="G16" s="13" t="s">
        <v>19</v>
      </c>
      <c r="H16" s="11"/>
      <c r="I16" s="12" t="s">
        <v>15</v>
      </c>
    </row>
    <row r="17" spans="2:9" x14ac:dyDescent="0.25">
      <c r="G17" s="4" t="s">
        <v>8</v>
      </c>
      <c r="H17" s="2">
        <v>0</v>
      </c>
      <c r="I17" s="3">
        <f>C3</f>
        <v>88000</v>
      </c>
    </row>
    <row r="18" spans="2:9" x14ac:dyDescent="0.25">
      <c r="G18" s="4" t="s">
        <v>20</v>
      </c>
      <c r="H18" s="19">
        <v>6.2E-2</v>
      </c>
      <c r="I18" s="3">
        <f>$C$3*H18</f>
        <v>5456</v>
      </c>
    </row>
    <row r="19" spans="2:9" x14ac:dyDescent="0.25">
      <c r="G19" s="4" t="s">
        <v>21</v>
      </c>
      <c r="H19" s="19">
        <v>1.4500000000000001E-2</v>
      </c>
      <c r="I19" s="3">
        <f>$C$3*H19</f>
        <v>1276</v>
      </c>
    </row>
    <row r="20" spans="2:9" ht="15.75" thickBot="1" x14ac:dyDescent="0.3">
      <c r="B20" s="37"/>
      <c r="G20" s="28" t="s">
        <v>23</v>
      </c>
      <c r="H20" s="31"/>
      <c r="I20" s="30">
        <f>SUM(I18:I19)</f>
        <v>6732</v>
      </c>
    </row>
    <row r="21" spans="2:9" ht="15.75" thickBot="1" x14ac:dyDescent="0.3">
      <c r="B21" s="37"/>
      <c r="G21" s="4"/>
      <c r="H21" s="2"/>
      <c r="I21" s="3"/>
    </row>
    <row r="22" spans="2:9" x14ac:dyDescent="0.25">
      <c r="G22" s="23" t="s">
        <v>16</v>
      </c>
      <c r="H22" s="24"/>
      <c r="I22" s="25">
        <f>I9+I14+I20</f>
        <v>20264.135000000002</v>
      </c>
    </row>
    <row r="23" spans="2:9" x14ac:dyDescent="0.25">
      <c r="G23" s="26" t="s">
        <v>24</v>
      </c>
      <c r="H23" s="22"/>
      <c r="I23" s="27">
        <f>C3-I22</f>
        <v>67735.864999999991</v>
      </c>
    </row>
    <row r="24" spans="2:9" ht="15.75" thickBot="1" x14ac:dyDescent="0.3">
      <c r="G24" s="33" t="s">
        <v>25</v>
      </c>
      <c r="H24" s="34"/>
      <c r="I24" s="35">
        <f>I23/12</f>
        <v>5644.6554166666656</v>
      </c>
    </row>
    <row r="25" spans="2:9" ht="15.75" thickBot="1" x14ac:dyDescent="0.3"/>
    <row r="26" spans="2:9" x14ac:dyDescent="0.25">
      <c r="G26" s="53" t="s">
        <v>33</v>
      </c>
      <c r="H26" s="54" t="s">
        <v>34</v>
      </c>
      <c r="I26" s="55" t="s">
        <v>35</v>
      </c>
    </row>
    <row r="27" spans="2:9" x14ac:dyDescent="0.25">
      <c r="G27" s="4" t="s">
        <v>27</v>
      </c>
      <c r="H27" s="2">
        <v>1400</v>
      </c>
      <c r="I27" s="3">
        <f>H27*12</f>
        <v>16800</v>
      </c>
    </row>
    <row r="28" spans="2:9" x14ac:dyDescent="0.25">
      <c r="G28" s="4" t="s">
        <v>28</v>
      </c>
      <c r="H28" s="2">
        <v>425</v>
      </c>
      <c r="I28" s="3">
        <f t="shared" ref="I28:I34" si="3">H28*12</f>
        <v>5100</v>
      </c>
    </row>
    <row r="29" spans="2:9" x14ac:dyDescent="0.25">
      <c r="G29" s="4" t="s">
        <v>29</v>
      </c>
      <c r="H29" s="2">
        <v>1250</v>
      </c>
      <c r="I29" s="3">
        <f t="shared" si="3"/>
        <v>15000</v>
      </c>
    </row>
    <row r="30" spans="2:9" x14ac:dyDescent="0.25">
      <c r="G30" s="4" t="s">
        <v>30</v>
      </c>
      <c r="H30" s="2">
        <v>600</v>
      </c>
      <c r="I30" s="3">
        <f t="shared" si="3"/>
        <v>7200</v>
      </c>
    </row>
    <row r="31" spans="2:9" x14ac:dyDescent="0.25">
      <c r="G31" s="4" t="s">
        <v>31</v>
      </c>
      <c r="H31" s="2">
        <v>1000</v>
      </c>
      <c r="I31" s="3">
        <f t="shared" si="3"/>
        <v>12000</v>
      </c>
    </row>
    <row r="32" spans="2:9" x14ac:dyDescent="0.25">
      <c r="G32" s="4" t="s">
        <v>32</v>
      </c>
      <c r="H32" s="2">
        <f>600</f>
        <v>600</v>
      </c>
      <c r="I32" s="3">
        <f t="shared" si="3"/>
        <v>7200</v>
      </c>
    </row>
    <row r="33" spans="7:9" x14ac:dyDescent="0.25">
      <c r="G33" s="20" t="s">
        <v>36</v>
      </c>
      <c r="H33" s="49">
        <f>SUM(H27:H32)</f>
        <v>5275</v>
      </c>
      <c r="I33" s="50">
        <f t="shared" si="3"/>
        <v>63300</v>
      </c>
    </row>
    <row r="34" spans="7:9" ht="15.75" thickBot="1" x14ac:dyDescent="0.3">
      <c r="G34" s="21" t="s">
        <v>37</v>
      </c>
      <c r="H34" s="51">
        <f>I24-H33</f>
        <v>369.65541666666559</v>
      </c>
      <c r="I34" s="52">
        <f t="shared" si="3"/>
        <v>4435.864999999987</v>
      </c>
    </row>
    <row r="35" spans="7:9" x14ac:dyDescent="0.25">
      <c r="H35" s="1"/>
    </row>
  </sheetData>
  <mergeCells count="1">
    <mergeCell ref="G2:I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Loans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Liam Becker</dc:creator>
  <cp:lastModifiedBy>Liam Becker</cp:lastModifiedBy>
  <dcterms:created xsi:type="dcterms:W3CDTF">2026-02-24T03:50:09Z</dcterms:created>
  <dcterms:modified xsi:type="dcterms:W3CDTF">2026-02-26T05:11:17Z</dcterms:modified>
</cp:coreProperties>
</file>